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ukci-my.sharepoint.com/personal/iannish_sadien_cruk_cam_ac_uk/Documents/Clinical/Genomic determinants of response LARC/Data/"/>
    </mc:Choice>
  </mc:AlternateContent>
  <xr:revisionPtr revIDLastSave="0" documentId="8_{182444DF-B412-CC45-A281-33747F03893B}" xr6:coauthVersionLast="47" xr6:coauthVersionMax="47" xr10:uidLastSave="{00000000-0000-0000-0000-000000000000}"/>
  <bookViews>
    <workbookView xWindow="32120" yWindow="600" windowWidth="26040" windowHeight="14020" xr2:uid="{54E1F502-BC86-664A-A03E-FFD42316377F}"/>
  </bookViews>
  <sheets>
    <sheet name="all" sheetId="1" r:id="rId1"/>
    <sheet name="exon_2" sheetId="2" r:id="rId2"/>
    <sheet name="non_exon_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E20" i="1"/>
  <c r="C20" i="1"/>
  <c r="E3" i="1"/>
  <c r="C3" i="1"/>
</calcChain>
</file>

<file path=xl/sharedStrings.xml><?xml version="1.0" encoding="utf-8"?>
<sst xmlns="http://schemas.openxmlformats.org/spreadsheetml/2006/main" count="38" uniqueCount="20">
  <si>
    <t>author</t>
  </si>
  <si>
    <t>Ee</t>
  </si>
  <si>
    <t>Ne</t>
  </si>
  <si>
    <t>Ec</t>
  </si>
  <si>
    <t>Nc</t>
  </si>
  <si>
    <t>Zhou_2021</t>
  </si>
  <si>
    <t>Chow_2016</t>
  </si>
  <si>
    <t>Martellucci_2015</t>
  </si>
  <si>
    <t>Jiang_2019</t>
  </si>
  <si>
    <t>Toomey_2020</t>
  </si>
  <si>
    <t>Bahnassy_2020</t>
  </si>
  <si>
    <t>Bengala_2010</t>
  </si>
  <si>
    <t>Russo_2014</t>
  </si>
  <si>
    <t>Chang_2022</t>
  </si>
  <si>
    <t>Davies_2011</t>
  </si>
  <si>
    <t>Greenbaum_2019</t>
  </si>
  <si>
    <t>Chapman_2023</t>
  </si>
  <si>
    <t>Otmani_2020</t>
  </si>
  <si>
    <t>Orlandi_2023</t>
  </si>
  <si>
    <t>Hammarstrom_2024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</si>
</sst>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765F-AB10-FB45-ABCE-94CBB4CCE7E5}">
  <dimension ref="A1:G20"/>
  <sheetViews>
    <sheetView tabSelected="1" workbookViewId="0">
      <selection activeCell="G21" sqref="G21"/>
    </sheetView>
  </sheetViews>
  <sheetFormatPr baseColWidth="10" defaultRowHeight="16" x14ac:dyDescent="0.2"/>
  <cols>
    <col min="1" max="1" width="19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19</v>
      </c>
      <c r="B2" s="1">
        <v>25</v>
      </c>
      <c r="C2" s="1">
        <v>244</v>
      </c>
      <c r="D2" s="1">
        <v>59</v>
      </c>
      <c r="E2" s="1">
        <v>308</v>
      </c>
    </row>
    <row r="3" spans="1:5" x14ac:dyDescent="0.2">
      <c r="A3" s="1" t="s">
        <v>5</v>
      </c>
      <c r="B3" s="1">
        <v>63</v>
      </c>
      <c r="C3" s="1">
        <f>618+63</f>
        <v>681</v>
      </c>
      <c r="D3" s="1">
        <v>132</v>
      </c>
      <c r="E3" s="1">
        <f>1073+132</f>
        <v>1205</v>
      </c>
    </row>
    <row r="4" spans="1:5" x14ac:dyDescent="0.2">
      <c r="A4" s="1" t="s">
        <v>6</v>
      </c>
      <c r="B4" s="1">
        <v>14</v>
      </c>
      <c r="C4" s="1">
        <v>96</v>
      </c>
      <c r="D4" s="1">
        <v>45</v>
      </c>
      <c r="E4" s="1">
        <v>133</v>
      </c>
    </row>
    <row r="5" spans="1:5" x14ac:dyDescent="0.2">
      <c r="A5" s="1" t="s">
        <v>7</v>
      </c>
      <c r="B5" s="1">
        <v>1</v>
      </c>
      <c r="C5" s="1">
        <v>26</v>
      </c>
      <c r="D5" s="1">
        <v>6</v>
      </c>
      <c r="E5" s="1">
        <v>50</v>
      </c>
    </row>
    <row r="6" spans="1:5" x14ac:dyDescent="0.2">
      <c r="A6" s="1" t="s">
        <v>8</v>
      </c>
      <c r="B6" s="1">
        <v>4</v>
      </c>
      <c r="C6" s="1">
        <v>26</v>
      </c>
      <c r="D6" s="1">
        <v>9</v>
      </c>
      <c r="E6" s="1">
        <v>48</v>
      </c>
    </row>
    <row r="7" spans="1:5" x14ac:dyDescent="0.2">
      <c r="A7" s="1" t="s">
        <v>9</v>
      </c>
      <c r="B7" s="1">
        <v>1</v>
      </c>
      <c r="C7" s="1">
        <v>9</v>
      </c>
      <c r="D7" s="1">
        <v>4</v>
      </c>
      <c r="E7" s="1">
        <v>19</v>
      </c>
    </row>
    <row r="8" spans="1:5" x14ac:dyDescent="0.2">
      <c r="A8" s="1" t="s">
        <v>10</v>
      </c>
      <c r="B8" s="1">
        <v>4</v>
      </c>
      <c r="C8" s="1">
        <v>24</v>
      </c>
      <c r="D8" s="1">
        <v>21</v>
      </c>
      <c r="E8" s="1">
        <v>46</v>
      </c>
    </row>
    <row r="9" spans="1:5" x14ac:dyDescent="0.2">
      <c r="A9" t="s">
        <v>11</v>
      </c>
      <c r="B9">
        <v>2</v>
      </c>
      <c r="C9">
        <v>27</v>
      </c>
      <c r="D9">
        <v>19</v>
      </c>
      <c r="E9">
        <v>114</v>
      </c>
    </row>
    <row r="10" spans="1:5" x14ac:dyDescent="0.2">
      <c r="A10" s="1" t="s">
        <v>12</v>
      </c>
      <c r="B10" s="1">
        <v>1</v>
      </c>
      <c r="C10" s="1">
        <v>20</v>
      </c>
      <c r="D10" s="1">
        <v>16</v>
      </c>
      <c r="E10" s="1">
        <v>27</v>
      </c>
    </row>
    <row r="11" spans="1:5" x14ac:dyDescent="0.2">
      <c r="A11" s="1" t="s">
        <v>13</v>
      </c>
      <c r="B11" s="1">
        <v>6</v>
      </c>
      <c r="C11" s="1">
        <v>14</v>
      </c>
      <c r="D11" s="1">
        <v>3</v>
      </c>
      <c r="E11" s="1">
        <v>15</v>
      </c>
    </row>
    <row r="12" spans="1:5" x14ac:dyDescent="0.2">
      <c r="A12" t="s">
        <v>14</v>
      </c>
      <c r="B12">
        <v>3</v>
      </c>
      <c r="C12">
        <v>24</v>
      </c>
      <c r="D12">
        <v>8</v>
      </c>
      <c r="E12">
        <v>43</v>
      </c>
    </row>
    <row r="13" spans="1:5" x14ac:dyDescent="0.2">
      <c r="A13" s="1" t="s">
        <v>15</v>
      </c>
      <c r="B13" s="1">
        <v>1</v>
      </c>
      <c r="C13" s="1">
        <v>3</v>
      </c>
      <c r="D13" s="1">
        <v>7</v>
      </c>
      <c r="E13" s="1">
        <v>18</v>
      </c>
    </row>
    <row r="14" spans="1:5" x14ac:dyDescent="0.2">
      <c r="A14" s="1" t="s">
        <v>16</v>
      </c>
      <c r="B14" s="1">
        <v>2</v>
      </c>
      <c r="C14" s="1">
        <v>18</v>
      </c>
      <c r="D14" s="1">
        <v>5</v>
      </c>
      <c r="E14" s="1">
        <v>20</v>
      </c>
    </row>
    <row r="15" spans="1:5" x14ac:dyDescent="0.2">
      <c r="A15" s="1" t="s">
        <v>17</v>
      </c>
      <c r="B15" s="1">
        <v>1</v>
      </c>
      <c r="C15" s="1">
        <v>20</v>
      </c>
      <c r="D15" s="1">
        <v>17</v>
      </c>
      <c r="E15" s="1">
        <v>37</v>
      </c>
    </row>
    <row r="16" spans="1:5" x14ac:dyDescent="0.2">
      <c r="A16" s="1" t="s">
        <v>18</v>
      </c>
      <c r="B16" s="1">
        <v>2</v>
      </c>
      <c r="C16" s="1">
        <v>14</v>
      </c>
      <c r="D16" s="1">
        <v>5</v>
      </c>
      <c r="E16" s="1">
        <v>25</v>
      </c>
    </row>
    <row r="20" spans="3:7" x14ac:dyDescent="0.2">
      <c r="C20">
        <f>SUM(C2:C16)</f>
        <v>1246</v>
      </c>
      <c r="E20">
        <f>SUM(E2:E16)</f>
        <v>2108</v>
      </c>
      <c r="G20">
        <f>SUM(C20+E20)</f>
        <v>3354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194D-08DA-4E49-9572-C38AAB45E49E}">
  <dimension ref="A1:E6"/>
  <sheetViews>
    <sheetView workbookViewId="0">
      <selection activeCell="F11" sqref="F1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  <c r="B2">
        <v>13</v>
      </c>
      <c r="C2">
        <v>83</v>
      </c>
      <c r="D2">
        <v>45</v>
      </c>
      <c r="E2">
        <v>133</v>
      </c>
    </row>
    <row r="3" spans="1:5" x14ac:dyDescent="0.2">
      <c r="A3" t="s">
        <v>8</v>
      </c>
      <c r="B3">
        <v>3</v>
      </c>
      <c r="C3">
        <v>19</v>
      </c>
      <c r="D3">
        <v>9</v>
      </c>
      <c r="E3">
        <v>48</v>
      </c>
    </row>
    <row r="4" spans="1:5" x14ac:dyDescent="0.2">
      <c r="A4" t="s">
        <v>15</v>
      </c>
      <c r="B4">
        <v>1</v>
      </c>
      <c r="C4">
        <v>3</v>
      </c>
      <c r="D4">
        <v>7</v>
      </c>
      <c r="E4">
        <v>18</v>
      </c>
    </row>
    <row r="5" spans="1:5" x14ac:dyDescent="0.2">
      <c r="A5" t="s">
        <v>7</v>
      </c>
      <c r="B5">
        <v>1</v>
      </c>
      <c r="C5">
        <v>21</v>
      </c>
      <c r="D5">
        <v>6</v>
      </c>
      <c r="E5">
        <v>50</v>
      </c>
    </row>
    <row r="6" spans="1:5" x14ac:dyDescent="0.2">
      <c r="A6" t="s">
        <v>18</v>
      </c>
      <c r="B6">
        <v>1</v>
      </c>
      <c r="C6">
        <v>10</v>
      </c>
      <c r="D6">
        <v>5</v>
      </c>
      <c r="E6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27EB-A50F-4243-A94E-B1681410CDB6}">
  <dimension ref="A1:E4"/>
  <sheetViews>
    <sheetView workbookViewId="0">
      <selection activeCell="B8" sqref="B8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  <c r="B2">
        <v>1</v>
      </c>
      <c r="C2">
        <v>12</v>
      </c>
      <c r="D2">
        <v>45</v>
      </c>
      <c r="E2">
        <v>133</v>
      </c>
    </row>
    <row r="3" spans="1:5" x14ac:dyDescent="0.2">
      <c r="A3" t="s">
        <v>8</v>
      </c>
      <c r="B3">
        <v>1</v>
      </c>
      <c r="C3">
        <v>5</v>
      </c>
      <c r="D3">
        <v>9</v>
      </c>
      <c r="E3">
        <v>48</v>
      </c>
    </row>
    <row r="4" spans="1:5" x14ac:dyDescent="0.2">
      <c r="A4" t="s">
        <v>18</v>
      </c>
      <c r="B4">
        <v>1</v>
      </c>
      <c r="C4">
        <v>1</v>
      </c>
      <c r="D4">
        <v>5</v>
      </c>
      <c r="E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exon_2</vt:lpstr>
      <vt:lpstr>non_exon_2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Iannish Sadien</dc:creator>
  <cp:lastModifiedBy>Iannish Sadien</cp:lastModifiedBy>
  <dcterms:created xsi:type="dcterms:W3CDTF">2025-10-12T10:15:55Z</dcterms:created>
  <dcterms:modified xsi:type="dcterms:W3CDTF">2026-05-26T10:58:10Z</dcterms:modified>
</cp:coreProperties>
</file>